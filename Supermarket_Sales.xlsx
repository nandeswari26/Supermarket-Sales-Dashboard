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lk\Downloads\"/>
    </mc:Choice>
  </mc:AlternateContent>
  <xr:revisionPtr revIDLastSave="0" documentId="8_{7C888F26-E78C-47C5-AAA8-45EA9AA03085}" xr6:coauthVersionLast="47" xr6:coauthVersionMax="47" xr10:uidLastSave="{00000000-0000-0000-0000-000000000000}"/>
  <bookViews>
    <workbookView xWindow="-108" yWindow="-108" windowWidth="23256" windowHeight="13896" xr2:uid="{84B82421-D8DF-418A-928B-4E23408EE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2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F3" i="1"/>
  <c r="G3" i="1" s="1"/>
  <c r="J3" i="1" s="1"/>
  <c r="F4" i="1"/>
  <c r="G4" i="1" s="1"/>
  <c r="J4" i="1" s="1"/>
  <c r="F5" i="1"/>
  <c r="G5" i="1" s="1"/>
  <c r="J5" i="1" s="1"/>
  <c r="F6" i="1"/>
  <c r="G6" i="1" s="1"/>
  <c r="J6" i="1" s="1"/>
  <c r="F7" i="1"/>
  <c r="G7" i="1" s="1"/>
  <c r="J7" i="1" s="1"/>
  <c r="F8" i="1"/>
  <c r="G8" i="1" s="1"/>
  <c r="J8" i="1" s="1"/>
  <c r="F9" i="1"/>
  <c r="G9" i="1" s="1"/>
  <c r="J9" i="1" s="1"/>
  <c r="F10" i="1"/>
  <c r="G10" i="1" s="1"/>
  <c r="J10" i="1" s="1"/>
  <c r="F11" i="1"/>
  <c r="G11" i="1" s="1"/>
  <c r="J11" i="1" s="1"/>
  <c r="F12" i="1"/>
  <c r="G12" i="1" s="1"/>
  <c r="J12" i="1" s="1"/>
  <c r="F13" i="1"/>
  <c r="G13" i="1" s="1"/>
  <c r="J13" i="1" s="1"/>
  <c r="F14" i="1"/>
  <c r="G14" i="1" s="1"/>
  <c r="J14" i="1" s="1"/>
  <c r="F15" i="1"/>
  <c r="G15" i="1" s="1"/>
  <c r="J15" i="1" s="1"/>
  <c r="F16" i="1"/>
  <c r="G16" i="1" s="1"/>
  <c r="J16" i="1" s="1"/>
  <c r="F17" i="1"/>
  <c r="G17" i="1" s="1"/>
  <c r="J17" i="1" s="1"/>
  <c r="F18" i="1"/>
  <c r="G18" i="1" s="1"/>
  <c r="J18" i="1" s="1"/>
  <c r="F19" i="1"/>
  <c r="G19" i="1" s="1"/>
  <c r="J19" i="1" s="1"/>
  <c r="F20" i="1"/>
  <c r="G20" i="1" s="1"/>
  <c r="J20" i="1" s="1"/>
  <c r="F21" i="1"/>
  <c r="G21" i="1" s="1"/>
  <c r="J21" i="1" s="1"/>
  <c r="F22" i="1"/>
  <c r="G22" i="1" s="1"/>
  <c r="J22" i="1" s="1"/>
  <c r="F23" i="1"/>
  <c r="G23" i="1" s="1"/>
  <c r="J23" i="1" s="1"/>
  <c r="F24" i="1"/>
  <c r="G24" i="1" s="1"/>
  <c r="J24" i="1" s="1"/>
  <c r="F25" i="1"/>
  <c r="G25" i="1" s="1"/>
  <c r="J25" i="1" s="1"/>
  <c r="F26" i="1"/>
  <c r="G26" i="1" s="1"/>
  <c r="J26" i="1" s="1"/>
  <c r="F27" i="1"/>
  <c r="G27" i="1" s="1"/>
  <c r="J27" i="1" s="1"/>
  <c r="F28" i="1"/>
  <c r="G28" i="1" s="1"/>
  <c r="J28" i="1" s="1"/>
  <c r="F29" i="1"/>
  <c r="G29" i="1" s="1"/>
  <c r="J29" i="1" s="1"/>
  <c r="F30" i="1"/>
  <c r="G30" i="1" s="1"/>
  <c r="J30" i="1" s="1"/>
  <c r="F31" i="1"/>
  <c r="G31" i="1" s="1"/>
  <c r="J31" i="1" s="1"/>
  <c r="F32" i="1"/>
  <c r="G32" i="1" s="1"/>
  <c r="J32" i="1" s="1"/>
  <c r="F33" i="1"/>
  <c r="G33" i="1" s="1"/>
  <c r="J33" i="1" s="1"/>
  <c r="F34" i="1"/>
  <c r="G34" i="1" s="1"/>
  <c r="J34" i="1" s="1"/>
  <c r="F35" i="1"/>
  <c r="G35" i="1" s="1"/>
  <c r="J35" i="1" s="1"/>
  <c r="F36" i="1"/>
  <c r="G36" i="1" s="1"/>
  <c r="J36" i="1" s="1"/>
  <c r="F37" i="1"/>
  <c r="G37" i="1" s="1"/>
  <c r="J37" i="1" s="1"/>
  <c r="F38" i="1"/>
  <c r="G38" i="1" s="1"/>
  <c r="J38" i="1" s="1"/>
  <c r="F39" i="1"/>
  <c r="G39" i="1" s="1"/>
  <c r="J39" i="1" s="1"/>
  <c r="F40" i="1"/>
  <c r="G40" i="1" s="1"/>
  <c r="J40" i="1" s="1"/>
  <c r="F41" i="1"/>
  <c r="G41" i="1" s="1"/>
  <c r="J41" i="1" s="1"/>
  <c r="F42" i="1"/>
  <c r="G42" i="1" s="1"/>
  <c r="J42" i="1" s="1"/>
  <c r="F43" i="1"/>
  <c r="G43" i="1" s="1"/>
  <c r="J43" i="1" s="1"/>
  <c r="F44" i="1"/>
  <c r="G44" i="1" s="1"/>
  <c r="J44" i="1" s="1"/>
  <c r="F45" i="1"/>
  <c r="G45" i="1" s="1"/>
  <c r="J45" i="1" s="1"/>
  <c r="F46" i="1"/>
  <c r="G46" i="1" s="1"/>
  <c r="J46" i="1" s="1"/>
  <c r="F47" i="1"/>
  <c r="G47" i="1" s="1"/>
  <c r="J47" i="1" s="1"/>
  <c r="F48" i="1"/>
  <c r="G48" i="1" s="1"/>
  <c r="J48" i="1" s="1"/>
  <c r="F49" i="1"/>
  <c r="G49" i="1" s="1"/>
  <c r="J49" i="1" s="1"/>
  <c r="F50" i="1"/>
  <c r="G50" i="1" s="1"/>
  <c r="J50" i="1" s="1"/>
  <c r="F51" i="1"/>
  <c r="G51" i="1" s="1"/>
  <c r="J51" i="1" s="1"/>
  <c r="F52" i="1"/>
  <c r="G52" i="1" s="1"/>
  <c r="J52" i="1" s="1"/>
  <c r="F53" i="1"/>
  <c r="G53" i="1" s="1"/>
  <c r="J53" i="1" s="1"/>
  <c r="F54" i="1"/>
  <c r="G54" i="1" s="1"/>
  <c r="J54" i="1" s="1"/>
  <c r="F55" i="1"/>
  <c r="G55" i="1" s="1"/>
  <c r="J55" i="1" s="1"/>
  <c r="F56" i="1"/>
  <c r="G56" i="1" s="1"/>
  <c r="J56" i="1" s="1"/>
  <c r="F57" i="1"/>
  <c r="G57" i="1" s="1"/>
  <c r="J57" i="1" s="1"/>
  <c r="F58" i="1"/>
  <c r="G58" i="1" s="1"/>
  <c r="J58" i="1" s="1"/>
  <c r="F59" i="1"/>
  <c r="G59" i="1" s="1"/>
  <c r="J59" i="1" s="1"/>
  <c r="F60" i="1"/>
  <c r="G60" i="1" s="1"/>
  <c r="J60" i="1" s="1"/>
  <c r="F61" i="1"/>
  <c r="G61" i="1" s="1"/>
  <c r="J61" i="1" s="1"/>
  <c r="F2" i="1"/>
  <c r="G2" i="1" s="1"/>
  <c r="J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2" i="1"/>
  <c r="A6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2" i="1"/>
</calcChain>
</file>

<file path=xl/sharedStrings.xml><?xml version="1.0" encoding="utf-8"?>
<sst xmlns="http://schemas.openxmlformats.org/spreadsheetml/2006/main" count="13" uniqueCount="13">
  <si>
    <t>Date</t>
  </si>
  <si>
    <t>Order ID</t>
  </si>
  <si>
    <t>Product</t>
  </si>
  <si>
    <t>Category</t>
  </si>
  <si>
    <t>Region</t>
  </si>
  <si>
    <t>Sales</t>
  </si>
  <si>
    <t>Profit</t>
  </si>
  <si>
    <t>Month</t>
  </si>
  <si>
    <t>Year</t>
  </si>
  <si>
    <t>Profit Margin</t>
  </si>
  <si>
    <t>Day</t>
  </si>
  <si>
    <t>Apple</t>
  </si>
  <si>
    <t>Chips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</si>
</sst>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31680-83B5-410C-AEEA-782CB19AC7EA}">
  <dimension ref="A1:K61"/>
  <sheetViews>
    <sheetView tabSelected="1" workbookViewId="0">
      <selection activeCell="D3" sqref="D3"/>
    </sheetView>
  </sheetViews>
  <sheetFormatPr defaultRowHeight="14.4" x14ac:dyDescent="0.3"/>
  <sheetData>
    <row r="1" spans="1:11" x14ac:dyDescent="0.3">
      <c r="A1" t="s">
        <v>1</v>
      </c>
      <c r="B1" t="s">
        <v>0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f>100 + ROW() - 1</f>
        <v>101</v>
      </c>
      <c r="B2">
        <f>DATE(2024,1,1) + (ROW()-2)*5</f>
        <v>45292</v>
      </c>
      <c r="C2" t="str">
        <f>CHOOSE(MOD(ROW()-2,3)+1,"Fruits","Dairy","Snacks")</f>
        <v>Fruits</v>
      </c>
      <c r="D2" t="str">
        <f ca="1">IF(C2="Fruits",CHOOSE(RANDBETWEEN(1,3),"Apple","Banana","Orange"),
IF(C2="Dairy",CHOOSE(RANDBETWEEN(1,3),"Milk","Cheese","Butter"),
))</f>
        <v>Apple</v>
      </c>
      <c r="E2" t="str">
        <f>CHOOSE(MOD(ROW()-2,4)+1,"East","West","North","South")</f>
        <v>East</v>
      </c>
      <c r="F2">
        <f ca="1">RANDBETWEEN(300,700)</f>
        <v>391</v>
      </c>
      <c r="G2">
        <f ca="1">F2*0.25</f>
        <v>97.75</v>
      </c>
      <c r="H2" t="str">
        <f>TEXT(B2,"MMM")</f>
        <v>Jan</v>
      </c>
      <c r="I2">
        <f>YEAR(B2)</f>
        <v>2024</v>
      </c>
      <c r="J2">
        <f ca="1">G2/F2</f>
        <v>0.25</v>
      </c>
      <c r="K2" t="str">
        <f>TEXT(B2,"dddd")</f>
        <v>Monday</v>
      </c>
    </row>
    <row r="3" spans="1:11" x14ac:dyDescent="0.3">
      <c r="A3">
        <f t="shared" ref="A3:A60" si="0">100 + ROW() - 1</f>
        <v>102</v>
      </c>
      <c r="B3">
        <f t="shared" ref="B3:B61" si="1">DATE(2024,1,1) + (ROW()-2)*5</f>
        <v>45297</v>
      </c>
      <c r="C3" t="str">
        <f t="shared" ref="C3:C61" si="2">CHOOSE(MOD(ROW()-2,3)+1,"Fruits","Dairy","Snacks")</f>
        <v>Dairy</v>
      </c>
      <c r="D3" t="s">
        <v>12</v>
      </c>
      <c r="E3" t="str">
        <f t="shared" ref="E3:E61" si="3">CHOOSE(MOD(ROW()-2,4)+1,"East","West","North","South")</f>
        <v>West</v>
      </c>
      <c r="F3">
        <f t="shared" ref="F3:F61" ca="1" si="4">RANDBETWEEN(300,700)</f>
        <v>359</v>
      </c>
      <c r="G3">
        <f t="shared" ref="G3:G61" ca="1" si="5">F3*0.25</f>
        <v>89.75</v>
      </c>
      <c r="H3" t="str">
        <f t="shared" ref="H3:H61" si="6">TEXT(B3,"MMM")</f>
        <v>Jan</v>
      </c>
      <c r="I3">
        <f t="shared" ref="I3:I61" si="7">YEAR(B3)</f>
        <v>2024</v>
      </c>
      <c r="J3">
        <f t="shared" ref="J3:J61" ca="1" si="8">G3/F3</f>
        <v>0.25</v>
      </c>
      <c r="K3" t="str">
        <f t="shared" ref="K3:K61" si="9">TEXT(B3,"dddd")</f>
        <v>Saturday</v>
      </c>
    </row>
    <row r="4" spans="1:11" x14ac:dyDescent="0.3">
      <c r="A4">
        <f t="shared" si="0"/>
        <v>103</v>
      </c>
      <c r="B4">
        <f t="shared" si="1"/>
        <v>45302</v>
      </c>
      <c r="C4" t="str">
        <f t="shared" si="2"/>
        <v>Snacks</v>
      </c>
      <c r="D4" t="s">
        <v>11</v>
      </c>
      <c r="E4" t="str">
        <f t="shared" si="3"/>
        <v>North</v>
      </c>
      <c r="F4">
        <f t="shared" ca="1" si="4"/>
        <v>660</v>
      </c>
      <c r="G4">
        <f t="shared" ca="1" si="5"/>
        <v>165</v>
      </c>
      <c r="H4" t="str">
        <f t="shared" si="6"/>
        <v>Jan</v>
      </c>
      <c r="I4">
        <f t="shared" si="7"/>
        <v>2024</v>
      </c>
      <c r="J4">
        <f t="shared" ca="1" si="8"/>
        <v>0.25</v>
      </c>
      <c r="K4" t="str">
        <f t="shared" si="9"/>
        <v>Thursday</v>
      </c>
    </row>
    <row r="5" spans="1:11" x14ac:dyDescent="0.3">
      <c r="A5">
        <f t="shared" si="0"/>
        <v>104</v>
      </c>
      <c r="B5">
        <f t="shared" si="1"/>
        <v>45307</v>
      </c>
      <c r="C5" t="str">
        <f t="shared" si="2"/>
        <v>Fruits</v>
      </c>
      <c r="D5" t="str">
        <f t="shared" ref="D5:D61" si="10">IF(C3="Fruits","Apple",
 IF(C3="Dairy","Milk",
 "Chips"))</f>
        <v>Milk</v>
      </c>
      <c r="E5" t="str">
        <f t="shared" si="3"/>
        <v>South</v>
      </c>
      <c r="F5">
        <f t="shared" ca="1" si="4"/>
        <v>694</v>
      </c>
      <c r="G5">
        <f t="shared" ca="1" si="5"/>
        <v>173.5</v>
      </c>
      <c r="H5" t="str">
        <f t="shared" si="6"/>
        <v>Jan</v>
      </c>
      <c r="I5">
        <f t="shared" si="7"/>
        <v>2024</v>
      </c>
      <c r="J5">
        <f t="shared" ca="1" si="8"/>
        <v>0.25</v>
      </c>
      <c r="K5" t="str">
        <f t="shared" si="9"/>
        <v>Tuesday</v>
      </c>
    </row>
    <row r="6" spans="1:11" x14ac:dyDescent="0.3">
      <c r="A6">
        <f t="shared" si="0"/>
        <v>105</v>
      </c>
      <c r="B6">
        <f t="shared" si="1"/>
        <v>45312</v>
      </c>
      <c r="C6" t="str">
        <f t="shared" si="2"/>
        <v>Dairy</v>
      </c>
      <c r="D6" t="str">
        <f t="shared" si="10"/>
        <v>Chips</v>
      </c>
      <c r="E6" t="str">
        <f t="shared" si="3"/>
        <v>East</v>
      </c>
      <c r="F6">
        <f t="shared" ca="1" si="4"/>
        <v>375</v>
      </c>
      <c r="G6">
        <f t="shared" ca="1" si="5"/>
        <v>93.75</v>
      </c>
      <c r="H6" t="str">
        <f t="shared" si="6"/>
        <v>Jan</v>
      </c>
      <c r="I6">
        <f t="shared" si="7"/>
        <v>2024</v>
      </c>
      <c r="J6">
        <f t="shared" ca="1" si="8"/>
        <v>0.25</v>
      </c>
      <c r="K6" t="str">
        <f t="shared" si="9"/>
        <v>Sunday</v>
      </c>
    </row>
    <row r="7" spans="1:11" x14ac:dyDescent="0.3">
      <c r="A7">
        <f t="shared" si="0"/>
        <v>106</v>
      </c>
      <c r="B7">
        <f t="shared" si="1"/>
        <v>45317</v>
      </c>
      <c r="C7" t="str">
        <f t="shared" si="2"/>
        <v>Snacks</v>
      </c>
      <c r="D7" t="str">
        <f t="shared" si="10"/>
        <v>Apple</v>
      </c>
      <c r="E7" t="str">
        <f t="shared" si="3"/>
        <v>West</v>
      </c>
      <c r="F7">
        <f t="shared" ca="1" si="4"/>
        <v>401</v>
      </c>
      <c r="G7">
        <f t="shared" ca="1" si="5"/>
        <v>100.25</v>
      </c>
      <c r="H7" t="str">
        <f t="shared" si="6"/>
        <v>Jan</v>
      </c>
      <c r="I7">
        <f t="shared" si="7"/>
        <v>2024</v>
      </c>
      <c r="J7">
        <f t="shared" ca="1" si="8"/>
        <v>0.25</v>
      </c>
      <c r="K7" t="str">
        <f t="shared" si="9"/>
        <v>Friday</v>
      </c>
    </row>
    <row r="8" spans="1:11" x14ac:dyDescent="0.3">
      <c r="A8">
        <f t="shared" si="0"/>
        <v>107</v>
      </c>
      <c r="B8">
        <f t="shared" si="1"/>
        <v>45322</v>
      </c>
      <c r="C8" t="str">
        <f t="shared" si="2"/>
        <v>Fruits</v>
      </c>
      <c r="D8" t="str">
        <f t="shared" si="10"/>
        <v>Milk</v>
      </c>
      <c r="E8" t="str">
        <f t="shared" si="3"/>
        <v>North</v>
      </c>
      <c r="F8">
        <f t="shared" ca="1" si="4"/>
        <v>697</v>
      </c>
      <c r="G8">
        <f t="shared" ca="1" si="5"/>
        <v>174.25</v>
      </c>
      <c r="H8" t="str">
        <f t="shared" si="6"/>
        <v>Jan</v>
      </c>
      <c r="I8">
        <f t="shared" si="7"/>
        <v>2024</v>
      </c>
      <c r="J8">
        <f t="shared" ca="1" si="8"/>
        <v>0.25</v>
      </c>
      <c r="K8" t="str">
        <f t="shared" si="9"/>
        <v>Wednesday</v>
      </c>
    </row>
    <row r="9" spans="1:11" x14ac:dyDescent="0.3">
      <c r="A9">
        <f t="shared" si="0"/>
        <v>108</v>
      </c>
      <c r="B9">
        <f t="shared" si="1"/>
        <v>45327</v>
      </c>
      <c r="C9" t="str">
        <f t="shared" si="2"/>
        <v>Dairy</v>
      </c>
      <c r="D9" t="str">
        <f t="shared" si="10"/>
        <v>Chips</v>
      </c>
      <c r="E9" t="str">
        <f t="shared" si="3"/>
        <v>South</v>
      </c>
      <c r="F9">
        <f t="shared" ca="1" si="4"/>
        <v>459</v>
      </c>
      <c r="G9">
        <f t="shared" ca="1" si="5"/>
        <v>114.75</v>
      </c>
      <c r="H9" t="str">
        <f t="shared" si="6"/>
        <v>Feb</v>
      </c>
      <c r="I9">
        <f t="shared" si="7"/>
        <v>2024</v>
      </c>
      <c r="J9">
        <f t="shared" ca="1" si="8"/>
        <v>0.25</v>
      </c>
      <c r="K9" t="str">
        <f t="shared" si="9"/>
        <v>Monday</v>
      </c>
    </row>
    <row r="10" spans="1:11" x14ac:dyDescent="0.3">
      <c r="A10">
        <f t="shared" si="0"/>
        <v>109</v>
      </c>
      <c r="B10">
        <f t="shared" si="1"/>
        <v>45332</v>
      </c>
      <c r="C10" t="str">
        <f t="shared" si="2"/>
        <v>Snacks</v>
      </c>
      <c r="D10" t="str">
        <f t="shared" si="10"/>
        <v>Apple</v>
      </c>
      <c r="E10" t="str">
        <f t="shared" si="3"/>
        <v>East</v>
      </c>
      <c r="F10">
        <f t="shared" ca="1" si="4"/>
        <v>379</v>
      </c>
      <c r="G10">
        <f t="shared" ca="1" si="5"/>
        <v>94.75</v>
      </c>
      <c r="H10" t="str">
        <f t="shared" si="6"/>
        <v>Feb</v>
      </c>
      <c r="I10">
        <f t="shared" si="7"/>
        <v>2024</v>
      </c>
      <c r="J10">
        <f t="shared" ca="1" si="8"/>
        <v>0.25</v>
      </c>
      <c r="K10" t="str">
        <f t="shared" si="9"/>
        <v>Saturday</v>
      </c>
    </row>
    <row r="11" spans="1:11" x14ac:dyDescent="0.3">
      <c r="A11">
        <f t="shared" si="0"/>
        <v>110</v>
      </c>
      <c r="B11">
        <f t="shared" si="1"/>
        <v>45337</v>
      </c>
      <c r="C11" t="str">
        <f t="shared" si="2"/>
        <v>Fruits</v>
      </c>
      <c r="D11" t="str">
        <f t="shared" si="10"/>
        <v>Milk</v>
      </c>
      <c r="E11" t="str">
        <f t="shared" si="3"/>
        <v>West</v>
      </c>
      <c r="F11">
        <f t="shared" ca="1" si="4"/>
        <v>517</v>
      </c>
      <c r="G11">
        <f t="shared" ca="1" si="5"/>
        <v>129.25</v>
      </c>
      <c r="H11" t="str">
        <f t="shared" si="6"/>
        <v>Feb</v>
      </c>
      <c r="I11">
        <f t="shared" si="7"/>
        <v>2024</v>
      </c>
      <c r="J11">
        <f t="shared" ca="1" si="8"/>
        <v>0.25</v>
      </c>
      <c r="K11" t="str">
        <f t="shared" si="9"/>
        <v>Thursday</v>
      </c>
    </row>
    <row r="12" spans="1:11" x14ac:dyDescent="0.3">
      <c r="A12">
        <f t="shared" si="0"/>
        <v>111</v>
      </c>
      <c r="B12">
        <f t="shared" si="1"/>
        <v>45342</v>
      </c>
      <c r="C12" t="str">
        <f t="shared" si="2"/>
        <v>Dairy</v>
      </c>
      <c r="D12" t="str">
        <f t="shared" si="10"/>
        <v>Chips</v>
      </c>
      <c r="E12" t="str">
        <f t="shared" si="3"/>
        <v>North</v>
      </c>
      <c r="F12">
        <f t="shared" ca="1" si="4"/>
        <v>519</v>
      </c>
      <c r="G12">
        <f t="shared" ca="1" si="5"/>
        <v>129.75</v>
      </c>
      <c r="H12" t="str">
        <f t="shared" si="6"/>
        <v>Feb</v>
      </c>
      <c r="I12">
        <f t="shared" si="7"/>
        <v>2024</v>
      </c>
      <c r="J12">
        <f t="shared" ca="1" si="8"/>
        <v>0.25</v>
      </c>
      <c r="K12" t="str">
        <f t="shared" si="9"/>
        <v>Tuesday</v>
      </c>
    </row>
    <row r="13" spans="1:11" x14ac:dyDescent="0.3">
      <c r="A13">
        <f t="shared" si="0"/>
        <v>112</v>
      </c>
      <c r="B13">
        <f t="shared" si="1"/>
        <v>45347</v>
      </c>
      <c r="C13" t="str">
        <f t="shared" si="2"/>
        <v>Snacks</v>
      </c>
      <c r="D13" t="str">
        <f t="shared" si="10"/>
        <v>Apple</v>
      </c>
      <c r="E13" t="str">
        <f t="shared" si="3"/>
        <v>South</v>
      </c>
      <c r="F13">
        <f t="shared" ca="1" si="4"/>
        <v>601</v>
      </c>
      <c r="G13">
        <f t="shared" ca="1" si="5"/>
        <v>150.25</v>
      </c>
      <c r="H13" t="str">
        <f t="shared" si="6"/>
        <v>Feb</v>
      </c>
      <c r="I13">
        <f t="shared" si="7"/>
        <v>2024</v>
      </c>
      <c r="J13">
        <f t="shared" ca="1" si="8"/>
        <v>0.25</v>
      </c>
      <c r="K13" t="str">
        <f t="shared" si="9"/>
        <v>Sunday</v>
      </c>
    </row>
    <row r="14" spans="1:11" x14ac:dyDescent="0.3">
      <c r="A14">
        <f t="shared" si="0"/>
        <v>113</v>
      </c>
      <c r="B14">
        <f t="shared" si="1"/>
        <v>45352</v>
      </c>
      <c r="C14" t="str">
        <f t="shared" si="2"/>
        <v>Fruits</v>
      </c>
      <c r="D14" t="str">
        <f t="shared" si="10"/>
        <v>Milk</v>
      </c>
      <c r="E14" t="str">
        <f t="shared" si="3"/>
        <v>East</v>
      </c>
      <c r="F14">
        <f t="shared" ca="1" si="4"/>
        <v>565</v>
      </c>
      <c r="G14">
        <f t="shared" ca="1" si="5"/>
        <v>141.25</v>
      </c>
      <c r="H14" t="str">
        <f t="shared" si="6"/>
        <v>Mar</v>
      </c>
      <c r="I14">
        <f t="shared" si="7"/>
        <v>2024</v>
      </c>
      <c r="J14">
        <f t="shared" ca="1" si="8"/>
        <v>0.25</v>
      </c>
      <c r="K14" t="str">
        <f t="shared" si="9"/>
        <v>Friday</v>
      </c>
    </row>
    <row r="15" spans="1:11" x14ac:dyDescent="0.3">
      <c r="A15">
        <f t="shared" si="0"/>
        <v>114</v>
      </c>
      <c r="B15">
        <f t="shared" si="1"/>
        <v>45357</v>
      </c>
      <c r="C15" t="str">
        <f t="shared" si="2"/>
        <v>Dairy</v>
      </c>
      <c r="D15" t="str">
        <f t="shared" si="10"/>
        <v>Chips</v>
      </c>
      <c r="E15" t="str">
        <f t="shared" si="3"/>
        <v>West</v>
      </c>
      <c r="F15">
        <f t="shared" ca="1" si="4"/>
        <v>634</v>
      </c>
      <c r="G15">
        <f t="shared" ca="1" si="5"/>
        <v>158.5</v>
      </c>
      <c r="H15" t="str">
        <f t="shared" si="6"/>
        <v>Mar</v>
      </c>
      <c r="I15">
        <f t="shared" si="7"/>
        <v>2024</v>
      </c>
      <c r="J15">
        <f t="shared" ca="1" si="8"/>
        <v>0.25</v>
      </c>
      <c r="K15" t="str">
        <f t="shared" si="9"/>
        <v>Wednesday</v>
      </c>
    </row>
    <row r="16" spans="1:11" x14ac:dyDescent="0.3">
      <c r="A16">
        <f t="shared" si="0"/>
        <v>115</v>
      </c>
      <c r="B16">
        <f t="shared" si="1"/>
        <v>45362</v>
      </c>
      <c r="C16" t="str">
        <f t="shared" si="2"/>
        <v>Snacks</v>
      </c>
      <c r="D16" t="str">
        <f t="shared" si="10"/>
        <v>Apple</v>
      </c>
      <c r="E16" t="str">
        <f t="shared" si="3"/>
        <v>North</v>
      </c>
      <c r="F16">
        <f t="shared" ca="1" si="4"/>
        <v>538</v>
      </c>
      <c r="G16">
        <f t="shared" ca="1" si="5"/>
        <v>134.5</v>
      </c>
      <c r="H16" t="str">
        <f t="shared" si="6"/>
        <v>Mar</v>
      </c>
      <c r="I16">
        <f t="shared" si="7"/>
        <v>2024</v>
      </c>
      <c r="J16">
        <f t="shared" ca="1" si="8"/>
        <v>0.25</v>
      </c>
      <c r="K16" t="str">
        <f t="shared" si="9"/>
        <v>Monday</v>
      </c>
    </row>
    <row r="17" spans="1:11" x14ac:dyDescent="0.3">
      <c r="A17">
        <f t="shared" si="0"/>
        <v>116</v>
      </c>
      <c r="B17">
        <f t="shared" si="1"/>
        <v>45367</v>
      </c>
      <c r="C17" t="str">
        <f t="shared" si="2"/>
        <v>Fruits</v>
      </c>
      <c r="D17" t="str">
        <f t="shared" si="10"/>
        <v>Milk</v>
      </c>
      <c r="E17" t="str">
        <f t="shared" si="3"/>
        <v>South</v>
      </c>
      <c r="F17">
        <f t="shared" ca="1" si="4"/>
        <v>586</v>
      </c>
      <c r="G17">
        <f t="shared" ca="1" si="5"/>
        <v>146.5</v>
      </c>
      <c r="H17" t="str">
        <f t="shared" si="6"/>
        <v>Mar</v>
      </c>
      <c r="I17">
        <f t="shared" si="7"/>
        <v>2024</v>
      </c>
      <c r="J17">
        <f t="shared" ca="1" si="8"/>
        <v>0.25</v>
      </c>
      <c r="K17" t="str">
        <f t="shared" si="9"/>
        <v>Saturday</v>
      </c>
    </row>
    <row r="18" spans="1:11" x14ac:dyDescent="0.3">
      <c r="A18">
        <f t="shared" si="0"/>
        <v>117</v>
      </c>
      <c r="B18">
        <f t="shared" si="1"/>
        <v>45372</v>
      </c>
      <c r="C18" t="str">
        <f t="shared" si="2"/>
        <v>Dairy</v>
      </c>
      <c r="D18" t="str">
        <f t="shared" si="10"/>
        <v>Chips</v>
      </c>
      <c r="E18" t="str">
        <f t="shared" si="3"/>
        <v>East</v>
      </c>
      <c r="F18">
        <f t="shared" ca="1" si="4"/>
        <v>490</v>
      </c>
      <c r="G18">
        <f t="shared" ca="1" si="5"/>
        <v>122.5</v>
      </c>
      <c r="H18" t="str">
        <f t="shared" si="6"/>
        <v>Mar</v>
      </c>
      <c r="I18">
        <f t="shared" si="7"/>
        <v>2024</v>
      </c>
      <c r="J18">
        <f t="shared" ca="1" si="8"/>
        <v>0.25</v>
      </c>
      <c r="K18" t="str">
        <f t="shared" si="9"/>
        <v>Thursday</v>
      </c>
    </row>
    <row r="19" spans="1:11" x14ac:dyDescent="0.3">
      <c r="A19">
        <f t="shared" si="0"/>
        <v>118</v>
      </c>
      <c r="B19">
        <f t="shared" si="1"/>
        <v>45377</v>
      </c>
      <c r="C19" t="str">
        <f t="shared" si="2"/>
        <v>Snacks</v>
      </c>
      <c r="D19" t="str">
        <f t="shared" si="10"/>
        <v>Apple</v>
      </c>
      <c r="E19" t="str">
        <f t="shared" si="3"/>
        <v>West</v>
      </c>
      <c r="F19">
        <f t="shared" ca="1" si="4"/>
        <v>376</v>
      </c>
      <c r="G19">
        <f t="shared" ca="1" si="5"/>
        <v>94</v>
      </c>
      <c r="H19" t="str">
        <f t="shared" si="6"/>
        <v>Mar</v>
      </c>
      <c r="I19">
        <f t="shared" si="7"/>
        <v>2024</v>
      </c>
      <c r="J19">
        <f t="shared" ca="1" si="8"/>
        <v>0.25</v>
      </c>
      <c r="K19" t="str">
        <f t="shared" si="9"/>
        <v>Tuesday</v>
      </c>
    </row>
    <row r="20" spans="1:11" x14ac:dyDescent="0.3">
      <c r="A20">
        <f t="shared" si="0"/>
        <v>119</v>
      </c>
      <c r="B20">
        <f t="shared" si="1"/>
        <v>45382</v>
      </c>
      <c r="C20" t="str">
        <f t="shared" si="2"/>
        <v>Fruits</v>
      </c>
      <c r="D20" t="str">
        <f t="shared" si="10"/>
        <v>Milk</v>
      </c>
      <c r="E20" t="str">
        <f t="shared" si="3"/>
        <v>North</v>
      </c>
      <c r="F20">
        <f t="shared" ca="1" si="4"/>
        <v>617</v>
      </c>
      <c r="G20">
        <f t="shared" ca="1" si="5"/>
        <v>154.25</v>
      </c>
      <c r="H20" t="str">
        <f t="shared" si="6"/>
        <v>Mar</v>
      </c>
      <c r="I20">
        <f t="shared" si="7"/>
        <v>2024</v>
      </c>
      <c r="J20">
        <f t="shared" ca="1" si="8"/>
        <v>0.25</v>
      </c>
      <c r="K20" t="str">
        <f t="shared" si="9"/>
        <v>Sunday</v>
      </c>
    </row>
    <row r="21" spans="1:11" x14ac:dyDescent="0.3">
      <c r="A21">
        <f t="shared" si="0"/>
        <v>120</v>
      </c>
      <c r="B21">
        <f t="shared" si="1"/>
        <v>45387</v>
      </c>
      <c r="C21" t="str">
        <f t="shared" si="2"/>
        <v>Dairy</v>
      </c>
      <c r="D21" t="str">
        <f t="shared" si="10"/>
        <v>Chips</v>
      </c>
      <c r="E21" t="str">
        <f t="shared" si="3"/>
        <v>South</v>
      </c>
      <c r="F21">
        <f t="shared" ca="1" si="4"/>
        <v>489</v>
      </c>
      <c r="G21">
        <f t="shared" ca="1" si="5"/>
        <v>122.25</v>
      </c>
      <c r="H21" t="str">
        <f t="shared" si="6"/>
        <v>Apr</v>
      </c>
      <c r="I21">
        <f t="shared" si="7"/>
        <v>2024</v>
      </c>
      <c r="J21">
        <f t="shared" ca="1" si="8"/>
        <v>0.25</v>
      </c>
      <c r="K21" t="str">
        <f t="shared" si="9"/>
        <v>Friday</v>
      </c>
    </row>
    <row r="22" spans="1:11" x14ac:dyDescent="0.3">
      <c r="A22">
        <f t="shared" si="0"/>
        <v>121</v>
      </c>
      <c r="B22">
        <f t="shared" si="1"/>
        <v>45392</v>
      </c>
      <c r="C22" t="str">
        <f t="shared" si="2"/>
        <v>Snacks</v>
      </c>
      <c r="D22" t="str">
        <f t="shared" si="10"/>
        <v>Apple</v>
      </c>
      <c r="E22" t="str">
        <f t="shared" si="3"/>
        <v>East</v>
      </c>
      <c r="F22">
        <f t="shared" ca="1" si="4"/>
        <v>378</v>
      </c>
      <c r="G22">
        <f t="shared" ca="1" si="5"/>
        <v>94.5</v>
      </c>
      <c r="H22" t="str">
        <f t="shared" si="6"/>
        <v>Apr</v>
      </c>
      <c r="I22">
        <f t="shared" si="7"/>
        <v>2024</v>
      </c>
      <c r="J22">
        <f t="shared" ca="1" si="8"/>
        <v>0.25</v>
      </c>
      <c r="K22" t="str">
        <f t="shared" si="9"/>
        <v>Wednesday</v>
      </c>
    </row>
    <row r="23" spans="1:11" x14ac:dyDescent="0.3">
      <c r="A23">
        <f t="shared" si="0"/>
        <v>122</v>
      </c>
      <c r="B23">
        <f t="shared" si="1"/>
        <v>45397</v>
      </c>
      <c r="C23" t="str">
        <f t="shared" si="2"/>
        <v>Fruits</v>
      </c>
      <c r="D23" t="str">
        <f t="shared" si="10"/>
        <v>Milk</v>
      </c>
      <c r="E23" t="str">
        <f t="shared" si="3"/>
        <v>West</v>
      </c>
      <c r="F23">
        <f t="shared" ca="1" si="4"/>
        <v>500</v>
      </c>
      <c r="G23">
        <f t="shared" ca="1" si="5"/>
        <v>125</v>
      </c>
      <c r="H23" t="str">
        <f t="shared" si="6"/>
        <v>Apr</v>
      </c>
      <c r="I23">
        <f t="shared" si="7"/>
        <v>2024</v>
      </c>
      <c r="J23">
        <f t="shared" ca="1" si="8"/>
        <v>0.25</v>
      </c>
      <c r="K23" t="str">
        <f t="shared" si="9"/>
        <v>Monday</v>
      </c>
    </row>
    <row r="24" spans="1:11" x14ac:dyDescent="0.3">
      <c r="A24">
        <f t="shared" si="0"/>
        <v>123</v>
      </c>
      <c r="B24">
        <f t="shared" si="1"/>
        <v>45402</v>
      </c>
      <c r="C24" t="str">
        <f t="shared" si="2"/>
        <v>Dairy</v>
      </c>
      <c r="D24" t="str">
        <f t="shared" si="10"/>
        <v>Chips</v>
      </c>
      <c r="E24" t="str">
        <f t="shared" si="3"/>
        <v>North</v>
      </c>
      <c r="F24">
        <f t="shared" ca="1" si="4"/>
        <v>383</v>
      </c>
      <c r="G24">
        <f t="shared" ca="1" si="5"/>
        <v>95.75</v>
      </c>
      <c r="H24" t="str">
        <f t="shared" si="6"/>
        <v>Apr</v>
      </c>
      <c r="I24">
        <f t="shared" si="7"/>
        <v>2024</v>
      </c>
      <c r="J24">
        <f t="shared" ca="1" si="8"/>
        <v>0.25</v>
      </c>
      <c r="K24" t="str">
        <f t="shared" si="9"/>
        <v>Saturday</v>
      </c>
    </row>
    <row r="25" spans="1:11" x14ac:dyDescent="0.3">
      <c r="A25">
        <f t="shared" si="0"/>
        <v>124</v>
      </c>
      <c r="B25">
        <f t="shared" si="1"/>
        <v>45407</v>
      </c>
      <c r="C25" t="str">
        <f t="shared" si="2"/>
        <v>Snacks</v>
      </c>
      <c r="D25" t="str">
        <f t="shared" si="10"/>
        <v>Apple</v>
      </c>
      <c r="E25" t="str">
        <f t="shared" si="3"/>
        <v>South</v>
      </c>
      <c r="F25">
        <f t="shared" ca="1" si="4"/>
        <v>536</v>
      </c>
      <c r="G25">
        <f t="shared" ca="1" si="5"/>
        <v>134</v>
      </c>
      <c r="H25" t="str">
        <f t="shared" si="6"/>
        <v>Apr</v>
      </c>
      <c r="I25">
        <f t="shared" si="7"/>
        <v>2024</v>
      </c>
      <c r="J25">
        <f t="shared" ca="1" si="8"/>
        <v>0.25</v>
      </c>
      <c r="K25" t="str">
        <f t="shared" si="9"/>
        <v>Thursday</v>
      </c>
    </row>
    <row r="26" spans="1:11" x14ac:dyDescent="0.3">
      <c r="A26">
        <f t="shared" si="0"/>
        <v>125</v>
      </c>
      <c r="B26">
        <f t="shared" si="1"/>
        <v>45412</v>
      </c>
      <c r="C26" t="str">
        <f t="shared" si="2"/>
        <v>Fruits</v>
      </c>
      <c r="D26" t="str">
        <f t="shared" si="10"/>
        <v>Milk</v>
      </c>
      <c r="E26" t="str">
        <f t="shared" si="3"/>
        <v>East</v>
      </c>
      <c r="F26">
        <f t="shared" ca="1" si="4"/>
        <v>340</v>
      </c>
      <c r="G26">
        <f t="shared" ca="1" si="5"/>
        <v>85</v>
      </c>
      <c r="H26" t="str">
        <f t="shared" si="6"/>
        <v>Apr</v>
      </c>
      <c r="I26">
        <f t="shared" si="7"/>
        <v>2024</v>
      </c>
      <c r="J26">
        <f t="shared" ca="1" si="8"/>
        <v>0.25</v>
      </c>
      <c r="K26" t="str">
        <f t="shared" si="9"/>
        <v>Tuesday</v>
      </c>
    </row>
    <row r="27" spans="1:11" x14ac:dyDescent="0.3">
      <c r="A27">
        <f t="shared" si="0"/>
        <v>126</v>
      </c>
      <c r="B27">
        <f t="shared" si="1"/>
        <v>45417</v>
      </c>
      <c r="C27" t="str">
        <f t="shared" si="2"/>
        <v>Dairy</v>
      </c>
      <c r="D27" t="str">
        <f t="shared" si="10"/>
        <v>Chips</v>
      </c>
      <c r="E27" t="str">
        <f t="shared" si="3"/>
        <v>West</v>
      </c>
      <c r="F27">
        <f t="shared" ca="1" si="4"/>
        <v>355</v>
      </c>
      <c r="G27">
        <f t="shared" ca="1" si="5"/>
        <v>88.75</v>
      </c>
      <c r="H27" t="str">
        <f t="shared" si="6"/>
        <v>May</v>
      </c>
      <c r="I27">
        <f t="shared" si="7"/>
        <v>2024</v>
      </c>
      <c r="J27">
        <f t="shared" ca="1" si="8"/>
        <v>0.25</v>
      </c>
      <c r="K27" t="str">
        <f t="shared" si="9"/>
        <v>Sunday</v>
      </c>
    </row>
    <row r="28" spans="1:11" x14ac:dyDescent="0.3">
      <c r="A28">
        <f t="shared" si="0"/>
        <v>127</v>
      </c>
      <c r="B28">
        <f t="shared" si="1"/>
        <v>45422</v>
      </c>
      <c r="C28" t="str">
        <f t="shared" si="2"/>
        <v>Snacks</v>
      </c>
      <c r="D28" t="str">
        <f t="shared" si="10"/>
        <v>Apple</v>
      </c>
      <c r="E28" t="str">
        <f t="shared" si="3"/>
        <v>North</v>
      </c>
      <c r="F28">
        <f t="shared" ca="1" si="4"/>
        <v>455</v>
      </c>
      <c r="G28">
        <f t="shared" ca="1" si="5"/>
        <v>113.75</v>
      </c>
      <c r="H28" t="str">
        <f t="shared" si="6"/>
        <v>May</v>
      </c>
      <c r="I28">
        <f t="shared" si="7"/>
        <v>2024</v>
      </c>
      <c r="J28">
        <f t="shared" ca="1" si="8"/>
        <v>0.25</v>
      </c>
      <c r="K28" t="str">
        <f t="shared" si="9"/>
        <v>Friday</v>
      </c>
    </row>
    <row r="29" spans="1:11" x14ac:dyDescent="0.3">
      <c r="A29">
        <f t="shared" si="0"/>
        <v>128</v>
      </c>
      <c r="B29">
        <f t="shared" si="1"/>
        <v>45427</v>
      </c>
      <c r="C29" t="str">
        <f t="shared" si="2"/>
        <v>Fruits</v>
      </c>
      <c r="D29" t="str">
        <f t="shared" si="10"/>
        <v>Milk</v>
      </c>
      <c r="E29" t="str">
        <f t="shared" si="3"/>
        <v>South</v>
      </c>
      <c r="F29">
        <f t="shared" ca="1" si="4"/>
        <v>335</v>
      </c>
      <c r="G29">
        <f t="shared" ca="1" si="5"/>
        <v>83.75</v>
      </c>
      <c r="H29" t="str">
        <f t="shared" si="6"/>
        <v>May</v>
      </c>
      <c r="I29">
        <f t="shared" si="7"/>
        <v>2024</v>
      </c>
      <c r="J29">
        <f t="shared" ca="1" si="8"/>
        <v>0.25</v>
      </c>
      <c r="K29" t="str">
        <f t="shared" si="9"/>
        <v>Wednesday</v>
      </c>
    </row>
    <row r="30" spans="1:11" x14ac:dyDescent="0.3">
      <c r="A30">
        <f t="shared" si="0"/>
        <v>129</v>
      </c>
      <c r="B30">
        <f t="shared" si="1"/>
        <v>45432</v>
      </c>
      <c r="C30" t="str">
        <f t="shared" si="2"/>
        <v>Dairy</v>
      </c>
      <c r="D30" t="str">
        <f t="shared" si="10"/>
        <v>Chips</v>
      </c>
      <c r="E30" t="str">
        <f t="shared" si="3"/>
        <v>East</v>
      </c>
      <c r="F30">
        <f t="shared" ca="1" si="4"/>
        <v>689</v>
      </c>
      <c r="G30">
        <f t="shared" ca="1" si="5"/>
        <v>172.25</v>
      </c>
      <c r="H30" t="str">
        <f t="shared" si="6"/>
        <v>May</v>
      </c>
      <c r="I30">
        <f t="shared" si="7"/>
        <v>2024</v>
      </c>
      <c r="J30">
        <f t="shared" ca="1" si="8"/>
        <v>0.25</v>
      </c>
      <c r="K30" t="str">
        <f t="shared" si="9"/>
        <v>Monday</v>
      </c>
    </row>
    <row r="31" spans="1:11" x14ac:dyDescent="0.3">
      <c r="A31">
        <f t="shared" si="0"/>
        <v>130</v>
      </c>
      <c r="B31">
        <f t="shared" si="1"/>
        <v>45437</v>
      </c>
      <c r="C31" t="str">
        <f t="shared" si="2"/>
        <v>Snacks</v>
      </c>
      <c r="D31" t="str">
        <f t="shared" si="10"/>
        <v>Apple</v>
      </c>
      <c r="E31" t="str">
        <f t="shared" si="3"/>
        <v>West</v>
      </c>
      <c r="F31">
        <f t="shared" ca="1" si="4"/>
        <v>605</v>
      </c>
      <c r="G31">
        <f t="shared" ca="1" si="5"/>
        <v>151.25</v>
      </c>
      <c r="H31" t="str">
        <f t="shared" si="6"/>
        <v>May</v>
      </c>
      <c r="I31">
        <f t="shared" si="7"/>
        <v>2024</v>
      </c>
      <c r="J31">
        <f t="shared" ca="1" si="8"/>
        <v>0.25</v>
      </c>
      <c r="K31" t="str">
        <f t="shared" si="9"/>
        <v>Saturday</v>
      </c>
    </row>
    <row r="32" spans="1:11" x14ac:dyDescent="0.3">
      <c r="A32">
        <f t="shared" si="0"/>
        <v>131</v>
      </c>
      <c r="B32">
        <f t="shared" si="1"/>
        <v>45442</v>
      </c>
      <c r="C32" t="str">
        <f t="shared" si="2"/>
        <v>Fruits</v>
      </c>
      <c r="D32" t="str">
        <f t="shared" si="10"/>
        <v>Milk</v>
      </c>
      <c r="E32" t="str">
        <f t="shared" si="3"/>
        <v>North</v>
      </c>
      <c r="F32">
        <f t="shared" ca="1" si="4"/>
        <v>327</v>
      </c>
      <c r="G32">
        <f t="shared" ca="1" si="5"/>
        <v>81.75</v>
      </c>
      <c r="H32" t="str">
        <f t="shared" si="6"/>
        <v>May</v>
      </c>
      <c r="I32">
        <f t="shared" si="7"/>
        <v>2024</v>
      </c>
      <c r="J32">
        <f t="shared" ca="1" si="8"/>
        <v>0.25</v>
      </c>
      <c r="K32" t="str">
        <f t="shared" si="9"/>
        <v>Thursday</v>
      </c>
    </row>
    <row r="33" spans="1:11" x14ac:dyDescent="0.3">
      <c r="A33">
        <f t="shared" si="0"/>
        <v>132</v>
      </c>
      <c r="B33">
        <f t="shared" si="1"/>
        <v>45447</v>
      </c>
      <c r="C33" t="str">
        <f t="shared" si="2"/>
        <v>Dairy</v>
      </c>
      <c r="D33" t="str">
        <f t="shared" si="10"/>
        <v>Chips</v>
      </c>
      <c r="E33" t="str">
        <f t="shared" si="3"/>
        <v>South</v>
      </c>
      <c r="F33">
        <f t="shared" ca="1" si="4"/>
        <v>370</v>
      </c>
      <c r="G33">
        <f t="shared" ca="1" si="5"/>
        <v>92.5</v>
      </c>
      <c r="H33" t="str">
        <f t="shared" si="6"/>
        <v>Jun</v>
      </c>
      <c r="I33">
        <f t="shared" si="7"/>
        <v>2024</v>
      </c>
      <c r="J33">
        <f t="shared" ca="1" si="8"/>
        <v>0.25</v>
      </c>
      <c r="K33" t="str">
        <f t="shared" si="9"/>
        <v>Tuesday</v>
      </c>
    </row>
    <row r="34" spans="1:11" x14ac:dyDescent="0.3">
      <c r="A34">
        <f t="shared" si="0"/>
        <v>133</v>
      </c>
      <c r="B34">
        <f t="shared" si="1"/>
        <v>45452</v>
      </c>
      <c r="C34" t="str">
        <f t="shared" si="2"/>
        <v>Snacks</v>
      </c>
      <c r="D34" t="str">
        <f t="shared" si="10"/>
        <v>Apple</v>
      </c>
      <c r="E34" t="str">
        <f t="shared" si="3"/>
        <v>East</v>
      </c>
      <c r="F34">
        <f t="shared" ca="1" si="4"/>
        <v>497</v>
      </c>
      <c r="G34">
        <f t="shared" ca="1" si="5"/>
        <v>124.25</v>
      </c>
      <c r="H34" t="str">
        <f t="shared" si="6"/>
        <v>Jun</v>
      </c>
      <c r="I34">
        <f t="shared" si="7"/>
        <v>2024</v>
      </c>
      <c r="J34">
        <f t="shared" ca="1" si="8"/>
        <v>0.25</v>
      </c>
      <c r="K34" t="str">
        <f t="shared" si="9"/>
        <v>Sunday</v>
      </c>
    </row>
    <row r="35" spans="1:11" x14ac:dyDescent="0.3">
      <c r="A35">
        <f t="shared" si="0"/>
        <v>134</v>
      </c>
      <c r="B35">
        <f t="shared" si="1"/>
        <v>45457</v>
      </c>
      <c r="C35" t="str">
        <f t="shared" si="2"/>
        <v>Fruits</v>
      </c>
      <c r="D35" t="str">
        <f t="shared" si="10"/>
        <v>Milk</v>
      </c>
      <c r="E35" t="str">
        <f t="shared" si="3"/>
        <v>West</v>
      </c>
      <c r="F35">
        <f t="shared" ca="1" si="4"/>
        <v>318</v>
      </c>
      <c r="G35">
        <f t="shared" ca="1" si="5"/>
        <v>79.5</v>
      </c>
      <c r="H35" t="str">
        <f t="shared" si="6"/>
        <v>Jun</v>
      </c>
      <c r="I35">
        <f t="shared" si="7"/>
        <v>2024</v>
      </c>
      <c r="J35">
        <f t="shared" ca="1" si="8"/>
        <v>0.25</v>
      </c>
      <c r="K35" t="str">
        <f t="shared" si="9"/>
        <v>Friday</v>
      </c>
    </row>
    <row r="36" spans="1:11" x14ac:dyDescent="0.3">
      <c r="A36">
        <f t="shared" si="0"/>
        <v>135</v>
      </c>
      <c r="B36">
        <f t="shared" si="1"/>
        <v>45462</v>
      </c>
      <c r="C36" t="str">
        <f t="shared" si="2"/>
        <v>Dairy</v>
      </c>
      <c r="D36" t="str">
        <f t="shared" si="10"/>
        <v>Chips</v>
      </c>
      <c r="E36" t="str">
        <f t="shared" si="3"/>
        <v>North</v>
      </c>
      <c r="F36">
        <f t="shared" ca="1" si="4"/>
        <v>461</v>
      </c>
      <c r="G36">
        <f t="shared" ca="1" si="5"/>
        <v>115.25</v>
      </c>
      <c r="H36" t="str">
        <f t="shared" si="6"/>
        <v>Jun</v>
      </c>
      <c r="I36">
        <f t="shared" si="7"/>
        <v>2024</v>
      </c>
      <c r="J36">
        <f t="shared" ca="1" si="8"/>
        <v>0.25</v>
      </c>
      <c r="K36" t="str">
        <f t="shared" si="9"/>
        <v>Wednesday</v>
      </c>
    </row>
    <row r="37" spans="1:11" x14ac:dyDescent="0.3">
      <c r="A37">
        <f t="shared" si="0"/>
        <v>136</v>
      </c>
      <c r="B37">
        <f t="shared" si="1"/>
        <v>45467</v>
      </c>
      <c r="C37" t="str">
        <f t="shared" si="2"/>
        <v>Snacks</v>
      </c>
      <c r="D37" t="str">
        <f t="shared" si="10"/>
        <v>Apple</v>
      </c>
      <c r="E37" t="str">
        <f t="shared" si="3"/>
        <v>South</v>
      </c>
      <c r="F37">
        <f t="shared" ca="1" si="4"/>
        <v>424</v>
      </c>
      <c r="G37">
        <f t="shared" ca="1" si="5"/>
        <v>106</v>
      </c>
      <c r="H37" t="str">
        <f t="shared" si="6"/>
        <v>Jun</v>
      </c>
      <c r="I37">
        <f t="shared" si="7"/>
        <v>2024</v>
      </c>
      <c r="J37">
        <f t="shared" ca="1" si="8"/>
        <v>0.25</v>
      </c>
      <c r="K37" t="str">
        <f t="shared" si="9"/>
        <v>Monday</v>
      </c>
    </row>
    <row r="38" spans="1:11" x14ac:dyDescent="0.3">
      <c r="A38">
        <f t="shared" si="0"/>
        <v>137</v>
      </c>
      <c r="B38">
        <f t="shared" si="1"/>
        <v>45472</v>
      </c>
      <c r="C38" t="str">
        <f t="shared" si="2"/>
        <v>Fruits</v>
      </c>
      <c r="D38" t="str">
        <f t="shared" si="10"/>
        <v>Milk</v>
      </c>
      <c r="E38" t="str">
        <f t="shared" si="3"/>
        <v>East</v>
      </c>
      <c r="F38">
        <f t="shared" ca="1" si="4"/>
        <v>556</v>
      </c>
      <c r="G38">
        <f t="shared" ca="1" si="5"/>
        <v>139</v>
      </c>
      <c r="H38" t="str">
        <f t="shared" si="6"/>
        <v>Jun</v>
      </c>
      <c r="I38">
        <f t="shared" si="7"/>
        <v>2024</v>
      </c>
      <c r="J38">
        <f t="shared" ca="1" si="8"/>
        <v>0.25</v>
      </c>
      <c r="K38" t="str">
        <f t="shared" si="9"/>
        <v>Saturday</v>
      </c>
    </row>
    <row r="39" spans="1:11" x14ac:dyDescent="0.3">
      <c r="A39">
        <f t="shared" si="0"/>
        <v>138</v>
      </c>
      <c r="B39">
        <f t="shared" si="1"/>
        <v>45477</v>
      </c>
      <c r="C39" t="str">
        <f t="shared" si="2"/>
        <v>Dairy</v>
      </c>
      <c r="D39" t="str">
        <f t="shared" si="10"/>
        <v>Chips</v>
      </c>
      <c r="E39" t="str">
        <f t="shared" si="3"/>
        <v>West</v>
      </c>
      <c r="F39">
        <f t="shared" ca="1" si="4"/>
        <v>354</v>
      </c>
      <c r="G39">
        <f t="shared" ca="1" si="5"/>
        <v>88.5</v>
      </c>
      <c r="H39" t="str">
        <f t="shared" si="6"/>
        <v>Jul</v>
      </c>
      <c r="I39">
        <f t="shared" si="7"/>
        <v>2024</v>
      </c>
      <c r="J39">
        <f t="shared" ca="1" si="8"/>
        <v>0.25</v>
      </c>
      <c r="K39" t="str">
        <f t="shared" si="9"/>
        <v>Thursday</v>
      </c>
    </row>
    <row r="40" spans="1:11" x14ac:dyDescent="0.3">
      <c r="A40">
        <f t="shared" si="0"/>
        <v>139</v>
      </c>
      <c r="B40">
        <f t="shared" si="1"/>
        <v>45482</v>
      </c>
      <c r="C40" t="str">
        <f t="shared" si="2"/>
        <v>Snacks</v>
      </c>
      <c r="D40" t="str">
        <f t="shared" si="10"/>
        <v>Apple</v>
      </c>
      <c r="E40" t="str">
        <f t="shared" si="3"/>
        <v>North</v>
      </c>
      <c r="F40">
        <f t="shared" ca="1" si="4"/>
        <v>516</v>
      </c>
      <c r="G40">
        <f t="shared" ca="1" si="5"/>
        <v>129</v>
      </c>
      <c r="H40" t="str">
        <f t="shared" si="6"/>
        <v>Jul</v>
      </c>
      <c r="I40">
        <f t="shared" si="7"/>
        <v>2024</v>
      </c>
      <c r="J40">
        <f t="shared" ca="1" si="8"/>
        <v>0.25</v>
      </c>
      <c r="K40" t="str">
        <f t="shared" si="9"/>
        <v>Tuesday</v>
      </c>
    </row>
    <row r="41" spans="1:11" x14ac:dyDescent="0.3">
      <c r="A41">
        <f t="shared" si="0"/>
        <v>140</v>
      </c>
      <c r="B41">
        <f t="shared" si="1"/>
        <v>45487</v>
      </c>
      <c r="C41" t="str">
        <f t="shared" si="2"/>
        <v>Fruits</v>
      </c>
      <c r="D41" t="str">
        <f t="shared" si="10"/>
        <v>Milk</v>
      </c>
      <c r="E41" t="str">
        <f t="shared" si="3"/>
        <v>South</v>
      </c>
      <c r="F41">
        <f t="shared" ca="1" si="4"/>
        <v>430</v>
      </c>
      <c r="G41">
        <f t="shared" ca="1" si="5"/>
        <v>107.5</v>
      </c>
      <c r="H41" t="str">
        <f t="shared" si="6"/>
        <v>Jul</v>
      </c>
      <c r="I41">
        <f t="shared" si="7"/>
        <v>2024</v>
      </c>
      <c r="J41">
        <f t="shared" ca="1" si="8"/>
        <v>0.25</v>
      </c>
      <c r="K41" t="str">
        <f t="shared" si="9"/>
        <v>Sunday</v>
      </c>
    </row>
    <row r="42" spans="1:11" x14ac:dyDescent="0.3">
      <c r="A42">
        <f t="shared" si="0"/>
        <v>141</v>
      </c>
      <c r="B42">
        <f t="shared" si="1"/>
        <v>45492</v>
      </c>
      <c r="C42" t="str">
        <f t="shared" si="2"/>
        <v>Dairy</v>
      </c>
      <c r="D42" t="str">
        <f t="shared" si="10"/>
        <v>Chips</v>
      </c>
      <c r="E42" t="str">
        <f t="shared" si="3"/>
        <v>East</v>
      </c>
      <c r="F42">
        <f t="shared" ca="1" si="4"/>
        <v>436</v>
      </c>
      <c r="G42">
        <f t="shared" ca="1" si="5"/>
        <v>109</v>
      </c>
      <c r="H42" t="str">
        <f t="shared" si="6"/>
        <v>Jul</v>
      </c>
      <c r="I42">
        <f t="shared" si="7"/>
        <v>2024</v>
      </c>
      <c r="J42">
        <f t="shared" ca="1" si="8"/>
        <v>0.25</v>
      </c>
      <c r="K42" t="str">
        <f t="shared" si="9"/>
        <v>Friday</v>
      </c>
    </row>
    <row r="43" spans="1:11" x14ac:dyDescent="0.3">
      <c r="A43">
        <f t="shared" si="0"/>
        <v>142</v>
      </c>
      <c r="B43">
        <f t="shared" si="1"/>
        <v>45497</v>
      </c>
      <c r="C43" t="str">
        <f t="shared" si="2"/>
        <v>Snacks</v>
      </c>
      <c r="D43" t="str">
        <f t="shared" si="10"/>
        <v>Apple</v>
      </c>
      <c r="E43" t="str">
        <f t="shared" si="3"/>
        <v>West</v>
      </c>
      <c r="F43">
        <f t="shared" ca="1" si="4"/>
        <v>660</v>
      </c>
      <c r="G43">
        <f t="shared" ca="1" si="5"/>
        <v>165</v>
      </c>
      <c r="H43" t="str">
        <f t="shared" si="6"/>
        <v>Jul</v>
      </c>
      <c r="I43">
        <f t="shared" si="7"/>
        <v>2024</v>
      </c>
      <c r="J43">
        <f t="shared" ca="1" si="8"/>
        <v>0.25</v>
      </c>
      <c r="K43" t="str">
        <f t="shared" si="9"/>
        <v>Wednesday</v>
      </c>
    </row>
    <row r="44" spans="1:11" x14ac:dyDescent="0.3">
      <c r="A44">
        <f t="shared" si="0"/>
        <v>143</v>
      </c>
      <c r="B44">
        <f t="shared" si="1"/>
        <v>45502</v>
      </c>
      <c r="C44" t="str">
        <f t="shared" si="2"/>
        <v>Fruits</v>
      </c>
      <c r="D44" t="str">
        <f t="shared" si="10"/>
        <v>Milk</v>
      </c>
      <c r="E44" t="str">
        <f t="shared" si="3"/>
        <v>North</v>
      </c>
      <c r="F44">
        <f t="shared" ca="1" si="4"/>
        <v>614</v>
      </c>
      <c r="G44">
        <f t="shared" ca="1" si="5"/>
        <v>153.5</v>
      </c>
      <c r="H44" t="str">
        <f t="shared" si="6"/>
        <v>Jul</v>
      </c>
      <c r="I44">
        <f t="shared" si="7"/>
        <v>2024</v>
      </c>
      <c r="J44">
        <f t="shared" ca="1" si="8"/>
        <v>0.25</v>
      </c>
      <c r="K44" t="str">
        <f t="shared" si="9"/>
        <v>Monday</v>
      </c>
    </row>
    <row r="45" spans="1:11" x14ac:dyDescent="0.3">
      <c r="A45">
        <f t="shared" si="0"/>
        <v>144</v>
      </c>
      <c r="B45">
        <f t="shared" si="1"/>
        <v>45507</v>
      </c>
      <c r="C45" t="str">
        <f t="shared" si="2"/>
        <v>Dairy</v>
      </c>
      <c r="D45" t="str">
        <f t="shared" si="10"/>
        <v>Chips</v>
      </c>
      <c r="E45" t="str">
        <f t="shared" si="3"/>
        <v>South</v>
      </c>
      <c r="F45">
        <f t="shared" ca="1" si="4"/>
        <v>336</v>
      </c>
      <c r="G45">
        <f t="shared" ca="1" si="5"/>
        <v>84</v>
      </c>
      <c r="H45" t="str">
        <f t="shared" si="6"/>
        <v>Aug</v>
      </c>
      <c r="I45">
        <f t="shared" si="7"/>
        <v>2024</v>
      </c>
      <c r="J45">
        <f t="shared" ca="1" si="8"/>
        <v>0.25</v>
      </c>
      <c r="K45" t="str">
        <f t="shared" si="9"/>
        <v>Saturday</v>
      </c>
    </row>
    <row r="46" spans="1:11" x14ac:dyDescent="0.3">
      <c r="A46">
        <f t="shared" si="0"/>
        <v>145</v>
      </c>
      <c r="B46">
        <f t="shared" si="1"/>
        <v>45512</v>
      </c>
      <c r="C46" t="str">
        <f t="shared" si="2"/>
        <v>Snacks</v>
      </c>
      <c r="D46" t="str">
        <f t="shared" si="10"/>
        <v>Apple</v>
      </c>
      <c r="E46" t="str">
        <f t="shared" si="3"/>
        <v>East</v>
      </c>
      <c r="F46">
        <f t="shared" ca="1" si="4"/>
        <v>402</v>
      </c>
      <c r="G46">
        <f t="shared" ca="1" si="5"/>
        <v>100.5</v>
      </c>
      <c r="H46" t="str">
        <f t="shared" si="6"/>
        <v>Aug</v>
      </c>
      <c r="I46">
        <f t="shared" si="7"/>
        <v>2024</v>
      </c>
      <c r="J46">
        <f t="shared" ca="1" si="8"/>
        <v>0.25</v>
      </c>
      <c r="K46" t="str">
        <f t="shared" si="9"/>
        <v>Thursday</v>
      </c>
    </row>
    <row r="47" spans="1:11" x14ac:dyDescent="0.3">
      <c r="A47">
        <f t="shared" si="0"/>
        <v>146</v>
      </c>
      <c r="B47">
        <f t="shared" si="1"/>
        <v>45517</v>
      </c>
      <c r="C47" t="str">
        <f t="shared" si="2"/>
        <v>Fruits</v>
      </c>
      <c r="D47" t="str">
        <f t="shared" si="10"/>
        <v>Milk</v>
      </c>
      <c r="E47" t="str">
        <f t="shared" si="3"/>
        <v>West</v>
      </c>
      <c r="F47">
        <f t="shared" ca="1" si="4"/>
        <v>639</v>
      </c>
      <c r="G47">
        <f t="shared" ca="1" si="5"/>
        <v>159.75</v>
      </c>
      <c r="H47" t="str">
        <f t="shared" si="6"/>
        <v>Aug</v>
      </c>
      <c r="I47">
        <f t="shared" si="7"/>
        <v>2024</v>
      </c>
      <c r="J47">
        <f t="shared" ca="1" si="8"/>
        <v>0.25</v>
      </c>
      <c r="K47" t="str">
        <f t="shared" si="9"/>
        <v>Tuesday</v>
      </c>
    </row>
    <row r="48" spans="1:11" x14ac:dyDescent="0.3">
      <c r="A48">
        <f t="shared" si="0"/>
        <v>147</v>
      </c>
      <c r="B48">
        <f t="shared" si="1"/>
        <v>45522</v>
      </c>
      <c r="C48" t="str">
        <f t="shared" si="2"/>
        <v>Dairy</v>
      </c>
      <c r="D48" t="str">
        <f t="shared" si="10"/>
        <v>Chips</v>
      </c>
      <c r="E48" t="str">
        <f t="shared" si="3"/>
        <v>North</v>
      </c>
      <c r="F48">
        <f t="shared" ca="1" si="4"/>
        <v>368</v>
      </c>
      <c r="G48">
        <f t="shared" ca="1" si="5"/>
        <v>92</v>
      </c>
      <c r="H48" t="str">
        <f t="shared" si="6"/>
        <v>Aug</v>
      </c>
      <c r="I48">
        <f t="shared" si="7"/>
        <v>2024</v>
      </c>
      <c r="J48">
        <f t="shared" ca="1" si="8"/>
        <v>0.25</v>
      </c>
      <c r="K48" t="str">
        <f t="shared" si="9"/>
        <v>Sunday</v>
      </c>
    </row>
    <row r="49" spans="1:11" x14ac:dyDescent="0.3">
      <c r="A49">
        <f t="shared" si="0"/>
        <v>148</v>
      </c>
      <c r="B49">
        <f t="shared" si="1"/>
        <v>45527</v>
      </c>
      <c r="C49" t="str">
        <f t="shared" si="2"/>
        <v>Snacks</v>
      </c>
      <c r="D49" t="str">
        <f t="shared" si="10"/>
        <v>Apple</v>
      </c>
      <c r="E49" t="str">
        <f t="shared" si="3"/>
        <v>South</v>
      </c>
      <c r="F49">
        <f t="shared" ca="1" si="4"/>
        <v>684</v>
      </c>
      <c r="G49">
        <f t="shared" ca="1" si="5"/>
        <v>171</v>
      </c>
      <c r="H49" t="str">
        <f t="shared" si="6"/>
        <v>Aug</v>
      </c>
      <c r="I49">
        <f t="shared" si="7"/>
        <v>2024</v>
      </c>
      <c r="J49">
        <f t="shared" ca="1" si="8"/>
        <v>0.25</v>
      </c>
      <c r="K49" t="str">
        <f t="shared" si="9"/>
        <v>Friday</v>
      </c>
    </row>
    <row r="50" spans="1:11" x14ac:dyDescent="0.3">
      <c r="A50">
        <f t="shared" si="0"/>
        <v>149</v>
      </c>
      <c r="B50">
        <f t="shared" si="1"/>
        <v>45532</v>
      </c>
      <c r="C50" t="str">
        <f t="shared" si="2"/>
        <v>Fruits</v>
      </c>
      <c r="D50" t="str">
        <f t="shared" si="10"/>
        <v>Milk</v>
      </c>
      <c r="E50" t="str">
        <f t="shared" si="3"/>
        <v>East</v>
      </c>
      <c r="F50">
        <f t="shared" ca="1" si="4"/>
        <v>666</v>
      </c>
      <c r="G50">
        <f t="shared" ca="1" si="5"/>
        <v>166.5</v>
      </c>
      <c r="H50" t="str">
        <f t="shared" si="6"/>
        <v>Aug</v>
      </c>
      <c r="I50">
        <f t="shared" si="7"/>
        <v>2024</v>
      </c>
      <c r="J50">
        <f t="shared" ca="1" si="8"/>
        <v>0.25</v>
      </c>
      <c r="K50" t="str">
        <f t="shared" si="9"/>
        <v>Wednesday</v>
      </c>
    </row>
    <row r="51" spans="1:11" x14ac:dyDescent="0.3">
      <c r="A51">
        <f t="shared" si="0"/>
        <v>150</v>
      </c>
      <c r="B51">
        <f t="shared" si="1"/>
        <v>45537</v>
      </c>
      <c r="C51" t="str">
        <f t="shared" si="2"/>
        <v>Dairy</v>
      </c>
      <c r="D51" t="str">
        <f t="shared" si="10"/>
        <v>Chips</v>
      </c>
      <c r="E51" t="str">
        <f t="shared" si="3"/>
        <v>West</v>
      </c>
      <c r="F51">
        <f t="shared" ca="1" si="4"/>
        <v>501</v>
      </c>
      <c r="G51">
        <f t="shared" ca="1" si="5"/>
        <v>125.25</v>
      </c>
      <c r="H51" t="str">
        <f t="shared" si="6"/>
        <v>Sep</v>
      </c>
      <c r="I51">
        <f t="shared" si="7"/>
        <v>2024</v>
      </c>
      <c r="J51">
        <f t="shared" ca="1" si="8"/>
        <v>0.25</v>
      </c>
      <c r="K51" t="str">
        <f t="shared" si="9"/>
        <v>Monday</v>
      </c>
    </row>
    <row r="52" spans="1:11" x14ac:dyDescent="0.3">
      <c r="A52">
        <f t="shared" si="0"/>
        <v>151</v>
      </c>
      <c r="B52">
        <f t="shared" si="1"/>
        <v>45542</v>
      </c>
      <c r="C52" t="str">
        <f t="shared" si="2"/>
        <v>Snacks</v>
      </c>
      <c r="D52" t="str">
        <f t="shared" si="10"/>
        <v>Apple</v>
      </c>
      <c r="E52" t="str">
        <f t="shared" si="3"/>
        <v>North</v>
      </c>
      <c r="F52">
        <f t="shared" ca="1" si="4"/>
        <v>435</v>
      </c>
      <c r="G52">
        <f t="shared" ca="1" si="5"/>
        <v>108.75</v>
      </c>
      <c r="H52" t="str">
        <f t="shared" si="6"/>
        <v>Sep</v>
      </c>
      <c r="I52">
        <f t="shared" si="7"/>
        <v>2024</v>
      </c>
      <c r="J52">
        <f t="shared" ca="1" si="8"/>
        <v>0.25</v>
      </c>
      <c r="K52" t="str">
        <f t="shared" si="9"/>
        <v>Saturday</v>
      </c>
    </row>
    <row r="53" spans="1:11" x14ac:dyDescent="0.3">
      <c r="A53">
        <f t="shared" si="0"/>
        <v>152</v>
      </c>
      <c r="B53">
        <f t="shared" si="1"/>
        <v>45547</v>
      </c>
      <c r="C53" t="str">
        <f t="shared" si="2"/>
        <v>Fruits</v>
      </c>
      <c r="D53" t="str">
        <f t="shared" si="10"/>
        <v>Milk</v>
      </c>
      <c r="E53" t="str">
        <f t="shared" si="3"/>
        <v>South</v>
      </c>
      <c r="F53">
        <f t="shared" ca="1" si="4"/>
        <v>694</v>
      </c>
      <c r="G53">
        <f t="shared" ca="1" si="5"/>
        <v>173.5</v>
      </c>
      <c r="H53" t="str">
        <f t="shared" si="6"/>
        <v>Sep</v>
      </c>
      <c r="I53">
        <f t="shared" si="7"/>
        <v>2024</v>
      </c>
      <c r="J53">
        <f t="shared" ca="1" si="8"/>
        <v>0.25</v>
      </c>
      <c r="K53" t="str">
        <f t="shared" si="9"/>
        <v>Thursday</v>
      </c>
    </row>
    <row r="54" spans="1:11" x14ac:dyDescent="0.3">
      <c r="A54">
        <f t="shared" si="0"/>
        <v>153</v>
      </c>
      <c r="B54">
        <f t="shared" si="1"/>
        <v>45552</v>
      </c>
      <c r="C54" t="str">
        <f t="shared" si="2"/>
        <v>Dairy</v>
      </c>
      <c r="D54" t="str">
        <f t="shared" si="10"/>
        <v>Chips</v>
      </c>
      <c r="E54" t="str">
        <f t="shared" si="3"/>
        <v>East</v>
      </c>
      <c r="F54">
        <f t="shared" ca="1" si="4"/>
        <v>339</v>
      </c>
      <c r="G54">
        <f t="shared" ca="1" si="5"/>
        <v>84.75</v>
      </c>
      <c r="H54" t="str">
        <f t="shared" si="6"/>
        <v>Sep</v>
      </c>
      <c r="I54">
        <f t="shared" si="7"/>
        <v>2024</v>
      </c>
      <c r="J54">
        <f t="shared" ca="1" si="8"/>
        <v>0.25</v>
      </c>
      <c r="K54" t="str">
        <f t="shared" si="9"/>
        <v>Tuesday</v>
      </c>
    </row>
    <row r="55" spans="1:11" x14ac:dyDescent="0.3">
      <c r="A55">
        <f t="shared" si="0"/>
        <v>154</v>
      </c>
      <c r="B55">
        <f t="shared" si="1"/>
        <v>45557</v>
      </c>
      <c r="C55" t="str">
        <f t="shared" si="2"/>
        <v>Snacks</v>
      </c>
      <c r="D55" t="str">
        <f t="shared" si="10"/>
        <v>Apple</v>
      </c>
      <c r="E55" t="str">
        <f t="shared" si="3"/>
        <v>West</v>
      </c>
      <c r="F55">
        <f t="shared" ca="1" si="4"/>
        <v>624</v>
      </c>
      <c r="G55">
        <f t="shared" ca="1" si="5"/>
        <v>156</v>
      </c>
      <c r="H55" t="str">
        <f t="shared" si="6"/>
        <v>Sep</v>
      </c>
      <c r="I55">
        <f t="shared" si="7"/>
        <v>2024</v>
      </c>
      <c r="J55">
        <f t="shared" ca="1" si="8"/>
        <v>0.25</v>
      </c>
      <c r="K55" t="str">
        <f t="shared" si="9"/>
        <v>Sunday</v>
      </c>
    </row>
    <row r="56" spans="1:11" x14ac:dyDescent="0.3">
      <c r="A56">
        <f t="shared" si="0"/>
        <v>155</v>
      </c>
      <c r="B56">
        <f t="shared" si="1"/>
        <v>45562</v>
      </c>
      <c r="C56" t="str">
        <f t="shared" si="2"/>
        <v>Fruits</v>
      </c>
      <c r="D56" t="str">
        <f t="shared" si="10"/>
        <v>Milk</v>
      </c>
      <c r="E56" t="str">
        <f t="shared" si="3"/>
        <v>North</v>
      </c>
      <c r="F56">
        <f t="shared" ca="1" si="4"/>
        <v>608</v>
      </c>
      <c r="G56">
        <f t="shared" ca="1" si="5"/>
        <v>152</v>
      </c>
      <c r="H56" t="str">
        <f t="shared" si="6"/>
        <v>Sep</v>
      </c>
      <c r="I56">
        <f t="shared" si="7"/>
        <v>2024</v>
      </c>
      <c r="J56">
        <f t="shared" ca="1" si="8"/>
        <v>0.25</v>
      </c>
      <c r="K56" t="str">
        <f t="shared" si="9"/>
        <v>Friday</v>
      </c>
    </row>
    <row r="57" spans="1:11" x14ac:dyDescent="0.3">
      <c r="A57">
        <f t="shared" si="0"/>
        <v>156</v>
      </c>
      <c r="B57">
        <f t="shared" si="1"/>
        <v>45567</v>
      </c>
      <c r="C57" t="str">
        <f t="shared" si="2"/>
        <v>Dairy</v>
      </c>
      <c r="D57" t="str">
        <f t="shared" si="10"/>
        <v>Chips</v>
      </c>
      <c r="E57" t="str">
        <f t="shared" si="3"/>
        <v>South</v>
      </c>
      <c r="F57">
        <f t="shared" ca="1" si="4"/>
        <v>608</v>
      </c>
      <c r="G57">
        <f t="shared" ca="1" si="5"/>
        <v>152</v>
      </c>
      <c r="H57" t="str">
        <f t="shared" si="6"/>
        <v>Oct</v>
      </c>
      <c r="I57">
        <f t="shared" si="7"/>
        <v>2024</v>
      </c>
      <c r="J57">
        <f t="shared" ca="1" si="8"/>
        <v>0.25</v>
      </c>
      <c r="K57" t="str">
        <f t="shared" si="9"/>
        <v>Wednesday</v>
      </c>
    </row>
    <row r="58" spans="1:11" x14ac:dyDescent="0.3">
      <c r="A58">
        <f t="shared" si="0"/>
        <v>157</v>
      </c>
      <c r="B58">
        <f t="shared" si="1"/>
        <v>45572</v>
      </c>
      <c r="C58" t="str">
        <f t="shared" si="2"/>
        <v>Snacks</v>
      </c>
      <c r="D58" t="str">
        <f t="shared" si="10"/>
        <v>Apple</v>
      </c>
      <c r="E58" t="str">
        <f t="shared" si="3"/>
        <v>East</v>
      </c>
      <c r="F58">
        <f t="shared" ca="1" si="4"/>
        <v>546</v>
      </c>
      <c r="G58">
        <f t="shared" ca="1" si="5"/>
        <v>136.5</v>
      </c>
      <c r="H58" t="str">
        <f t="shared" si="6"/>
        <v>Oct</v>
      </c>
      <c r="I58">
        <f t="shared" si="7"/>
        <v>2024</v>
      </c>
      <c r="J58">
        <f t="shared" ca="1" si="8"/>
        <v>0.25</v>
      </c>
      <c r="K58" t="str">
        <f t="shared" si="9"/>
        <v>Monday</v>
      </c>
    </row>
    <row r="59" spans="1:11" x14ac:dyDescent="0.3">
      <c r="A59">
        <f t="shared" si="0"/>
        <v>158</v>
      </c>
      <c r="B59">
        <f t="shared" si="1"/>
        <v>45577</v>
      </c>
      <c r="C59" t="str">
        <f t="shared" si="2"/>
        <v>Fruits</v>
      </c>
      <c r="D59" t="str">
        <f t="shared" si="10"/>
        <v>Milk</v>
      </c>
      <c r="E59" t="str">
        <f t="shared" si="3"/>
        <v>West</v>
      </c>
      <c r="F59">
        <f t="shared" ca="1" si="4"/>
        <v>599</v>
      </c>
      <c r="G59">
        <f t="shared" ca="1" si="5"/>
        <v>149.75</v>
      </c>
      <c r="H59" t="str">
        <f t="shared" si="6"/>
        <v>Oct</v>
      </c>
      <c r="I59">
        <f t="shared" si="7"/>
        <v>2024</v>
      </c>
      <c r="J59">
        <f t="shared" ca="1" si="8"/>
        <v>0.25</v>
      </c>
      <c r="K59" t="str">
        <f t="shared" si="9"/>
        <v>Saturday</v>
      </c>
    </row>
    <row r="60" spans="1:11" x14ac:dyDescent="0.3">
      <c r="A60">
        <f t="shared" si="0"/>
        <v>159</v>
      </c>
      <c r="B60">
        <f t="shared" si="1"/>
        <v>45582</v>
      </c>
      <c r="C60" t="str">
        <f t="shared" si="2"/>
        <v>Dairy</v>
      </c>
      <c r="D60" t="str">
        <f t="shared" si="10"/>
        <v>Chips</v>
      </c>
      <c r="E60" t="str">
        <f t="shared" si="3"/>
        <v>North</v>
      </c>
      <c r="F60">
        <f t="shared" ca="1" si="4"/>
        <v>583</v>
      </c>
      <c r="G60">
        <f t="shared" ca="1" si="5"/>
        <v>145.75</v>
      </c>
      <c r="H60" t="str">
        <f t="shared" si="6"/>
        <v>Oct</v>
      </c>
      <c r="I60">
        <f t="shared" si="7"/>
        <v>2024</v>
      </c>
      <c r="J60">
        <f t="shared" ca="1" si="8"/>
        <v>0.25</v>
      </c>
      <c r="K60" t="str">
        <f t="shared" si="9"/>
        <v>Thursday</v>
      </c>
    </row>
    <row r="61" spans="1:11" x14ac:dyDescent="0.3">
      <c r="A61">
        <f>100 + ROW() - 1</f>
        <v>160</v>
      </c>
      <c r="B61">
        <f t="shared" si="1"/>
        <v>45587</v>
      </c>
      <c r="C61" t="str">
        <f t="shared" si="2"/>
        <v>Snacks</v>
      </c>
      <c r="D61" t="str">
        <f t="shared" si="10"/>
        <v>Apple</v>
      </c>
      <c r="E61" t="str">
        <f t="shared" si="3"/>
        <v>South</v>
      </c>
      <c r="F61">
        <f t="shared" ca="1" si="4"/>
        <v>376</v>
      </c>
      <c r="G61">
        <f t="shared" ca="1" si="5"/>
        <v>94</v>
      </c>
      <c r="H61" t="str">
        <f t="shared" si="6"/>
        <v>Oct</v>
      </c>
      <c r="I61">
        <f t="shared" si="7"/>
        <v>2024</v>
      </c>
      <c r="J61">
        <f t="shared" ca="1" si="8"/>
        <v>0.25</v>
      </c>
      <c r="K61" t="str">
        <f t="shared" si="9"/>
        <v>Tuesday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nandeswari</dc:creator>
  <cp:lastModifiedBy>naga nandeswari</cp:lastModifiedBy>
  <dcterms:created xsi:type="dcterms:W3CDTF">2026-03-17T14:37:08Z</dcterms:created>
  <dcterms:modified xsi:type="dcterms:W3CDTF">2026-03-18T14:23:28Z</dcterms:modified>
</cp:coreProperties>
</file>